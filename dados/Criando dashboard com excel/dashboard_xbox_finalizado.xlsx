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ursos\santander_dev_week_2025\dados\Criando dashboard com excel\"/>
    </mc:Choice>
  </mc:AlternateContent>
  <xr:revisionPtr revIDLastSave="0" documentId="13_ncr:1_{4C755F6A-F7D0-4AB4-AA2F-C114FA022820}" xr6:coauthVersionLast="47" xr6:coauthVersionMax="47" xr10:uidLastSave="{00000000-0000-0000-0000-000000000000}"/>
  <bookViews>
    <workbookView xWindow="-120" yWindow="-120" windowWidth="29040" windowHeight="15720" tabRatio="353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9" i="3" l="1"/>
  <c r="D31" i="3"/>
  <c r="D24" i="3"/>
</calcChain>
</file>

<file path=xl/sharedStrings.xml><?xml version="1.0" encoding="utf-8"?>
<sst xmlns="http://schemas.openxmlformats.org/spreadsheetml/2006/main" count="2033" uniqueCount="331">
  <si>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</si>
  <si>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</si>
  <si>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</si>
  <si>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</si>
  <si>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</si>
  <si>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</si>
  <si>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</si>
  <si>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</si>
  <si>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</si>
  <si>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</si>
  <si>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</si>
  <si>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</si>
  <si>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</si>
  <si>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</si>
  <si>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</si>
  <si>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</si>
  <si>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</si>
  <si>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</si>
  <si>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</si>
  <si>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</si>
  <si>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</si>
  <si>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</si>
  <si>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</si>
  <si>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</si>
  <si>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</si>
  <si>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</si>
  <si>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</si>
  <si>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</si>
  <si>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</si>
  <si>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</si>
  <si>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</si>
  <si>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</si>
  <si>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</si>
  <si>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</si>
  <si>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</si>
  <si>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</si>
  <si>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</si>
  <si>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</si>
  <si>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</si>
  <si>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</si>
  <si>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</si>
  <si>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</si>
  <si>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</si>
  <si>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</si>
  <si>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</si>
  <si>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</si>
  <si>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</si>
  <si>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</si>
  <si>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</si>
  <si>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</si>
  <si>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</si>
  <si>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</si>
  <si>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</si>
  <si>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</si>
  <si>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</si>
  <si>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</si>
  <si>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</si>
  <si>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</si>
  <si>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</si>
  <si>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</si>
  <si>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</si>
  <si>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</si>
  <si>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</si>
  <si>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</si>
  <si>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</si>
  <si>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</si>
  <si>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</si>
  <si>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</si>
  <si>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</si>
  <si>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</si>
  <si>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</si>
  <si>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</si>
  <si>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</si>
  <si>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</si>
  <si>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</si>
  <si>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</si>
  <si>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</si>
  <si>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</si>
  <si>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</si>
  <si>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</si>
  <si>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</si>
  <si>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</si>
  <si>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</si>
  <si>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</si>
  <si>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</si>
  <si>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</si>
  <si>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</si>
  <si>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</si>
  <si>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</si>
  <si>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</si>
  <si>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</si>
  <si>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</si>
  <si>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</si>
  <si>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</si>
  <si>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</si>
  <si>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</si>
  <si>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</si>
  <si>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</si>
  <si>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</si>
  <si>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</si>
  <si>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</si>
  <si>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</si>
  <si>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</si>
  <si>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</si>
  <si>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</si>
  <si>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</si>
  <si>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</si>
  <si>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</si>
  <si>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</si>
  <si>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</si>
  <si>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</si>
  <si>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</si>
  <si>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</si>
  <si>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</si>
  <si>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</si>
  <si>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</si>
  <si>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</si>
  <si>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</si>
  <si>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</si>
  <si>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</si>
  <si>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</si>
  <si>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</si>
  <si>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</si>
  <si>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</si>
  <si>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</si>
  <si>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</si>
  <si>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</si>
  <si>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</si>
  <si>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</si>
  <si>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</si>
  <si>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</si>
  <si>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</si>
  <si>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</si>
  <si>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</si>
  <si>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</si>
  <si>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</si>
  <si>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</si>
  <si>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</si>
  <si>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</si>
  <si>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</si>
  <si>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</si>
  <si>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</si>
  <si>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</si>
  <si>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</si>
  <si>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</si>
  <si>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</si>
  <si>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</si>
  <si>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</si>
  <si>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</si>
  <si>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</si>
  <si>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</si>
  <si>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</si>
  <si>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</si>
  <si>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</si>
  <si>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</si>
  <si>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</si>
  <si>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</si>
  <si>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</si>
  <si>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</si>
  <si>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</si>
  <si>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</si>
  <si>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</si>
  <si>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</si>
  <si>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</si>
  <si>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</si>
  <si>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</si>
  <si>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</si>
  <si>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</si>
  <si>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</si>
  <si>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</si>
  <si>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</si>
  <si>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</si>
  <si>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</si>
  <si>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</si>
  <si>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</si>
  <si>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</si>
  <si>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</si>
  <si>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</si>
  <si>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</si>
  <si>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</si>
  <si>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</si>
  <si>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</si>
  <si>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</si>
  <si>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</si>
  <si>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</si>
  <si>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</si>
  <si>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</si>
  <si>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</si>
  <si>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</si>
  <si>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</si>
  <si>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</si>
  <si>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</si>
  <si>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</si>
  <si>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</si>
  <si>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</si>
  <si>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</si>
  <si>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</si>
  <si>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</si>
  <si>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</si>
  <si>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</si>
  <si>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</si>
  <si>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</si>
  <si>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</si>
  <si>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</si>
  <si>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</si>
  <si>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</si>
  <si>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</si>
  <si>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</si>
  <si>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</si>
  <si>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</si>
  <si>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</si>
  <si>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</si>
  <si>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</si>
  <si>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</si>
  <si>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</si>
  <si>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</si>
  <si>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</si>
  <si>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</si>
  <si>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</si>
  <si>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</si>
  <si>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</si>
  <si>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</si>
  <si>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</si>
  <si>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</si>
  <si>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</si>
  <si>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</si>
  <si>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</si>
  <si>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</si>
  <si>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</si>
  <si>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</si>
  <si>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</si>
  <si>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</si>
  <si>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</si>
  <si>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</si>
  <si>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</si>
  <si>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</si>
  <si>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</si>
  <si>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</si>
  <si>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</si>
  <si>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</si>
  <si>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</si>
  <si>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</si>
  <si>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</si>
  <si>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</si>
  <si>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</si>
  <si>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</si>
  <si>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</si>
  <si>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</si>
  <si>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</si>
  <si>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</si>
  <si>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</si>
  <si>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</si>
  <si>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</si>
  <si>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</si>
  <si>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</si>
  <si>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</si>
  <si>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</si>
  <si>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</si>
  <si>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</si>
  <si>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</si>
  <si>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</si>
  <si>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</si>
  <si>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</si>
  <si>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</si>
  <si>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</si>
  <si>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</si>
  <si>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</si>
  <si>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</si>
  <si>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</si>
  <si>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</si>
  <si>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</si>
  <si>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</si>
  <si>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</si>
  <si>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</si>
  <si>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</si>
  <si>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</si>
  <si>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</si>
  <si>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</si>
  <si>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</si>
  <si>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</si>
  <si>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</si>
  <si>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</si>
  <si>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</si>
  <si>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</si>
  <si>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</si>
  <si>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</si>
  <si>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</si>
  <si>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</si>
  <si>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</si>
  <si>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</si>
  <si>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</si>
  <si>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</si>
  <si>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</si>
  <si>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</si>
  <si>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</si>
  <si>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</si>
  <si>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</si>
  <si>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</si>
  <si>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</si>
  <si>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</si>
  <si>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</si>
  <si>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</si>
  <si>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</si>
  <si>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</si>
  <si>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</si>
  <si>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</si>
  <si>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</si>
  <si>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</si>
  <si>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</si>
  <si>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</si>
  <si>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</si>
  <si>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</si>
  <si>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</si>
  <si>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r>
      <t>Pergunta 1: Qual o</t>
    </r>
    <r>
      <rPr>
        <b/>
        <sz val="11"/>
        <color theme="1"/>
        <rFont val="Aptos Narrow"/>
        <family val="2"/>
        <scheme val="minor"/>
      </rPr>
      <t xml:space="preserve"> total de vendas dos panos anuais</t>
    </r>
    <r>
      <rPr>
        <sz val="11"/>
        <color theme="1"/>
        <rFont val="Aptos Narrow"/>
        <family val="2"/>
        <scheme val="minor"/>
      </rPr>
      <t>?</t>
    </r>
  </si>
  <si>
    <t>Rótulos de Linha</t>
  </si>
  <si>
    <t>Total Geral</t>
  </si>
  <si>
    <t>Soma de Total Value</t>
  </si>
  <si>
    <t>(Tudo)</t>
  </si>
  <si>
    <t>Contagem de Subscription Type</t>
  </si>
  <si>
    <r>
      <t xml:space="preserve">Pergunta 2: Qual faturamento </t>
    </r>
    <r>
      <rPr>
        <b/>
        <sz val="11"/>
        <color theme="1"/>
        <rFont val="Aptos Narrow"/>
        <family val="2"/>
        <scheme val="minor"/>
      </rPr>
      <t>total de vendas de planos anuais</t>
    </r>
    <r>
      <rPr>
        <sz val="11"/>
        <color theme="1"/>
        <rFont val="Aptos Narrow"/>
        <family val="2"/>
        <scheme val="minor"/>
      </rPr>
      <t>, separados por</t>
    </r>
    <r>
      <rPr>
        <b/>
        <sz val="11"/>
        <color theme="1"/>
        <rFont val="Aptos Narrow"/>
        <family val="2"/>
        <scheme val="minor"/>
      </rPr>
      <t xml:space="preserve"> auto renovação</t>
    </r>
    <r>
      <rPr>
        <sz val="11"/>
        <color theme="1"/>
        <rFont val="Aptos Narrow"/>
        <family val="2"/>
        <scheme val="minor"/>
      </rPr>
      <t xml:space="preserve"> e </t>
    </r>
    <r>
      <rPr>
        <b/>
        <sz val="11"/>
        <color theme="1"/>
        <rFont val="Aptos Narrow"/>
        <family val="2"/>
        <scheme val="minor"/>
      </rPr>
      <t>sem auto renovação</t>
    </r>
    <r>
      <rPr>
        <sz val="11"/>
        <color theme="1"/>
        <rFont val="Aptos Narrow"/>
        <family val="2"/>
        <scheme val="minor"/>
      </rPr>
      <t>?</t>
    </r>
  </si>
  <si>
    <t>Diferença entre dado e informação</t>
  </si>
  <si>
    <t>Informação - uma pergunta de negócio respondida através de análise de dados especifica, o gráfico é a representação visual dessas informações</t>
  </si>
  <si>
    <t>XBOX GAME PASS SUBSCRIPTIONS SALES</t>
  </si>
  <si>
    <t>Pergunta 3: Total de assinaturas da EA Play</t>
  </si>
  <si>
    <t>Soma de EA Play Season Pass</t>
  </si>
  <si>
    <t>Pergunta 3: Total de assinaturas da Minecraft Season Pass</t>
  </si>
  <si>
    <t>Soma de Minecraft Season Pass Price</t>
  </si>
  <si>
    <t>Bem vinda, Maria</t>
  </si>
  <si>
    <t>Calculation period: 01/01/2024 - 31/12/2024 | Update date: 25/12/2024 - 21:00</t>
  </si>
  <si>
    <t>Pergunta 4: Qual plano teve mais vendas do minecraft season pass</t>
  </si>
  <si>
    <t>Soma de Coupon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</si>
</sst>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Aptos Narrow"/>
      <family val="2"/>
      <scheme val="minor"/>
    </font>
    <font>
      <b/>
      <sz val="20"/>
      <color rgb="FF22C55E"/>
      <name val="Segoe UI"/>
      <family val="2"/>
    </font>
    <font>
      <sz val="14"/>
      <color theme="0"/>
      <name val="Segoe UI"/>
      <family val="2"/>
    </font>
    <font>
      <sz val="12"/>
      <color theme="0" tint="-0.249977111117893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0" borderId="2" xfId="1" applyFont="1" applyFill="1" applyBorder="1"/>
    <xf numFmtId="44" fontId="0" fillId="0" borderId="0" xfId="2" applyFont="1"/>
    <xf numFmtId="44" fontId="0" fillId="7" borderId="0" xfId="0" applyNumberFormat="1" applyFill="1"/>
    <xf numFmtId="0" fontId="4" fillId="0" borderId="0" xfId="1" applyFont="1" applyFill="1" applyBorder="1"/>
    <xf numFmtId="0" fontId="4" fillId="0" borderId="0" xfId="1" applyFont="1" applyBorder="1"/>
    <xf numFmtId="0" fontId="5" fillId="0" borderId="2" xfId="1" applyFont="1" applyFill="1" applyBorder="1"/>
    <xf numFmtId="0" fontId="0" fillId="4" borderId="0" xfId="0" applyFill="1" applyAlignment="1">
      <alignment horizontal="center"/>
    </xf>
    <xf numFmtId="0" fontId="6" fillId="4" borderId="0" xfId="0" applyFont="1" applyFill="1" applyAlignment="1">
      <alignment horizontal="center"/>
    </xf>
    <xf numFmtId="0" fontId="7" fillId="7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44602ABB-A70A-407E-B728-B6321EF660C7}">
      <tableStyleElement type="wholeTable" dxfId="15"/>
      <tableStyleElement type="headerRow" dxfId="14"/>
    </tableStyle>
  </tableStyles>
  <colors>
    <mruColors>
      <color rgb="FF22C55E"/>
      <color rgb="FF5BF6A8"/>
      <color rgb="FF2AE6B1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[dashboard_xbox_finalizado.xlsx]C̳álculos!tbl_anual_total</c:name>
    <c:fmtId val="4"/>
  </c:pivotSource>
  <c:chart>
    <c:autoTitleDeleted val="0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22C55E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5BF6A8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22C55E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BF6A8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22C55E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906270277363961E-2"/>
          <c:y val="1.2571658134540925E-3"/>
          <c:w val="0.90983261276543348"/>
          <c:h val="0.9202127423640166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C̳álculos!$C$10</c:f>
              <c:strCache>
                <c:ptCount val="1"/>
                <c:pt idx="0">
                  <c:v>Soma de Total Value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06CA-4DA2-8170-F99C739B861E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06CA-4DA2-8170-F99C739B861E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6CA-4DA2-8170-F99C739B861E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6CA-4DA2-8170-F99C739B86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22C55E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C̳álculos!$B$11:$B$13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C̳álculos!$C$11:$C$13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CA-4DA2-8170-F99C739B861E}"/>
            </c:ext>
          </c:extLst>
        </c:ser>
        <c:ser>
          <c:idx val="1"/>
          <c:order val="1"/>
          <c:tx>
            <c:strRef>
              <c:f>C̳álculos!$D$10</c:f>
              <c:strCache>
                <c:ptCount val="1"/>
                <c:pt idx="0">
                  <c:v>Contagem de Subscription Type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C̳álculos!$B$11:$B$13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C̳álculos!$D$11:$D$13</c:f>
              <c:numCache>
                <c:formatCode>General</c:formatCode>
                <c:ptCount val="2"/>
                <c:pt idx="0">
                  <c:v>147</c:v>
                </c:pt>
                <c:pt idx="1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CA-4DA2-8170-F99C739B8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20961080"/>
        <c:axId val="920962160"/>
      </c:barChart>
      <c:catAx>
        <c:axId val="920961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0962160"/>
        <c:crosses val="autoZero"/>
        <c:auto val="1"/>
        <c:lblAlgn val="ctr"/>
        <c:lblOffset val="100"/>
        <c:noMultiLvlLbl val="0"/>
      </c:catAx>
      <c:valAx>
        <c:axId val="9209621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920961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[dashboard_xbox_finalizado.xlsx]C̳álculos!Tabela dinâmica6</c:name>
    <c:fmtId val="1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22C55E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F6A8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5.3097744215811586E-2"/>
          <c:y val="0"/>
          <c:w val="0.90401847824309178"/>
          <c:h val="0.908333333333333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C̳álculos!$C$38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22C55E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C̳álculos!$B$39:$B$41</c:f>
              <c:strCache>
                <c:ptCount val="2"/>
                <c:pt idx="0">
                  <c:v>Standard</c:v>
                </c:pt>
                <c:pt idx="1">
                  <c:v>Ultimate</c:v>
                </c:pt>
              </c:strCache>
            </c:strRef>
          </c:cat>
          <c:val>
            <c:numRef>
              <c:f>C̳álculos!$C$39:$C$41</c:f>
              <c:numCache>
                <c:formatCode>_("R$"* #,##0.00_);_("R$"* \(#,##0.00\);_("R$"* "-"??_);_(@_)</c:formatCode>
                <c:ptCount val="2"/>
                <c:pt idx="0">
                  <c:v>1920</c:v>
                </c:pt>
                <c:pt idx="1">
                  <c:v>1960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F9-4C4E-A657-F607BBC87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938039152"/>
        <c:axId val="938039512"/>
      </c:barChart>
      <c:catAx>
        <c:axId val="93803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22C55E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938039512"/>
        <c:crosses val="autoZero"/>
        <c:auto val="1"/>
        <c:lblAlgn val="ctr"/>
        <c:lblOffset val="100"/>
        <c:noMultiLvlLbl val="0"/>
      </c:catAx>
      <c:valAx>
        <c:axId val="938039512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93803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Relationship Id="rId9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oneCell">
    <xdr:from>
      <xdr:col>13</xdr:col>
      <xdr:colOff>0</xdr:colOff>
      <xdr:row>13</xdr:row>
      <xdr:rowOff>0</xdr:rowOff>
    </xdr:from>
    <xdr:to>
      <xdr:col>14</xdr:col>
      <xdr:colOff>336331</xdr:colOff>
      <xdr:row>17</xdr:row>
      <xdr:rowOff>0</xdr:rowOff>
    </xdr:to>
    <xdr:pic>
      <xdr:nvPicPr>
        <xdr:cNvPr id="6" name="Imagem 5" descr="O cão que fuma...: [Língua Portuguesa] Como usar os símbolos do Euro e do  Real">
          <a:extLst>
            <a:ext uri="{FF2B5EF4-FFF2-40B4-BE49-F238E27FC236}">
              <a16:creationId xmlns:a16="http://schemas.microsoft.com/office/drawing/2014/main" id="{AAD1E74D-C89F-02F7-AAE3-FCB10E86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53325" y="2628900"/>
          <a:ext cx="945931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9</xdr:row>
      <xdr:rowOff>0</xdr:rowOff>
    </xdr:from>
    <xdr:to>
      <xdr:col>11</xdr:col>
      <xdr:colOff>304800</xdr:colOff>
      <xdr:row>10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304800</xdr:colOff>
      <xdr:row>10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83342</xdr:colOff>
      <xdr:row>0</xdr:row>
      <xdr:rowOff>106304</xdr:rowOff>
    </xdr:from>
    <xdr:to>
      <xdr:col>2</xdr:col>
      <xdr:colOff>542253</xdr:colOff>
      <xdr:row>2</xdr:row>
      <xdr:rowOff>186502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0BE1BA3-F72A-4677-8577-47815223E4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83" t="22018" r="72563" b="22019"/>
        <a:stretch>
          <a:fillRect/>
        </a:stretch>
      </xdr:blipFill>
      <xdr:spPr>
        <a:xfrm>
          <a:off x="1785936" y="106304"/>
          <a:ext cx="697036" cy="6755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83343</xdr:rowOff>
    </xdr:from>
    <xdr:to>
      <xdr:col>0</xdr:col>
      <xdr:colOff>1684214</xdr:colOff>
      <xdr:row>19</xdr:row>
      <xdr:rowOff>83343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 1">
              <a:extLst>
                <a:ext uri="{FF2B5EF4-FFF2-40B4-BE49-F238E27FC236}">
                  <a16:creationId xmlns:a16="http://schemas.microsoft.com/office/drawing/2014/main" id="{C9FC8379-8E04-45AA-84FF-5CBE9616D8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321593"/>
              <a:ext cx="1684214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32289</xdr:colOff>
      <xdr:row>4</xdr:row>
      <xdr:rowOff>95250</xdr:rowOff>
    </xdr:from>
    <xdr:to>
      <xdr:col>10</xdr:col>
      <xdr:colOff>68008</xdr:colOff>
      <xdr:row>12</xdr:row>
      <xdr:rowOff>100013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C87E7BCF-6B40-A6D1-2EE6-37AF21CAEB50}"/>
            </a:ext>
          </a:extLst>
        </xdr:cNvPr>
        <xdr:cNvGrpSpPr/>
      </xdr:nvGrpSpPr>
      <xdr:grpSpPr>
        <a:xfrm>
          <a:off x="1969039" y="1143000"/>
          <a:ext cx="4861719" cy="1528763"/>
          <a:chOff x="1785936" y="1214437"/>
          <a:chExt cx="4893469" cy="1528763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261FC694-D468-221D-7F59-C97C9564064F}"/>
              </a:ext>
            </a:extLst>
          </xdr:cNvPr>
          <xdr:cNvSpPr/>
        </xdr:nvSpPr>
        <xdr:spPr>
          <a:xfrm>
            <a:off x="1798580" y="1464469"/>
            <a:ext cx="4817601" cy="1273968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D24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E2CE159F-6EE8-4160-A12D-AAE735E02B37}"/>
              </a:ext>
            </a:extLst>
          </xdr:cNvPr>
          <xdr:cNvSpPr/>
        </xdr:nvSpPr>
        <xdr:spPr>
          <a:xfrm>
            <a:off x="3022581" y="1656160"/>
            <a:ext cx="3656824" cy="954881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9AD5DF3F-0EBC-47CB-B831-AC8A65C80BB2}" type="TxLink">
              <a:rPr lang="en-US" sz="4400" b="0" i="0" u="none" strike="noStrike">
                <a:solidFill>
                  <a:srgbClr val="22C55E"/>
                </a:solidFill>
                <a:latin typeface="Aptos Narrow"/>
              </a:rPr>
              <a:pPr algn="ctr"/>
              <a:t> R$ 2.940,00 </a:t>
            </a:fld>
            <a:endParaRPr lang="pt-BR" sz="4400">
              <a:solidFill>
                <a:srgbClr val="22C55E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2D1A323C-3192-4259-8628-5C3A9A1215E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25957" y="1524000"/>
            <a:ext cx="1294809" cy="1219200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E4E790D3-4700-2705-0F6F-30F48E561912}"/>
              </a:ext>
            </a:extLst>
          </xdr:cNvPr>
          <xdr:cNvSpPr/>
        </xdr:nvSpPr>
        <xdr:spPr>
          <a:xfrm>
            <a:off x="1785936" y="1214437"/>
            <a:ext cx="4817601" cy="464344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SUBSCRIPITIONS EA SEASON PASS</a:t>
            </a:r>
            <a:endParaRPr lang="pt-BR" sz="11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10</xdr:col>
      <xdr:colOff>329946</xdr:colOff>
      <xdr:row>4</xdr:row>
      <xdr:rowOff>97631</xdr:rowOff>
    </xdr:from>
    <xdr:to>
      <xdr:col>18</xdr:col>
      <xdr:colOff>329947</xdr:colOff>
      <xdr:row>12</xdr:row>
      <xdr:rowOff>97631</xdr:rowOff>
    </xdr:to>
    <xdr:grpSp>
      <xdr:nvGrpSpPr>
        <xdr:cNvPr id="31" name="Agrupar 30">
          <a:extLst>
            <a:ext uri="{FF2B5EF4-FFF2-40B4-BE49-F238E27FC236}">
              <a16:creationId xmlns:a16="http://schemas.microsoft.com/office/drawing/2014/main" id="{81C0F8D7-0737-D540-A8D3-57E526CE8813}"/>
            </a:ext>
          </a:extLst>
        </xdr:cNvPr>
        <xdr:cNvGrpSpPr/>
      </xdr:nvGrpSpPr>
      <xdr:grpSpPr>
        <a:xfrm>
          <a:off x="7092696" y="1145381"/>
          <a:ext cx="5032376" cy="1524000"/>
          <a:chOff x="7128415" y="1157287"/>
          <a:chExt cx="5060157" cy="1524000"/>
        </a:xfrm>
      </xdr:grpSpPr>
      <xdr:sp macro="" textlink="">
        <xdr:nvSpPr>
          <xdr:cNvPr id="18" name="Retângulo: Cantos Arredondados 17">
            <a:extLst>
              <a:ext uri="{FF2B5EF4-FFF2-40B4-BE49-F238E27FC236}">
                <a16:creationId xmlns:a16="http://schemas.microsoft.com/office/drawing/2014/main" id="{B47283D1-12BB-C6D7-BF1E-F7CD7903944F}"/>
              </a:ext>
            </a:extLst>
          </xdr:cNvPr>
          <xdr:cNvSpPr/>
        </xdr:nvSpPr>
        <xdr:spPr>
          <a:xfrm>
            <a:off x="7141059" y="1407319"/>
            <a:ext cx="4817601" cy="1273968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D31">
        <xdr:nvSpPr>
          <xdr:cNvPr id="19" name="Retângulo: Cantos Arredondados 18">
            <a:extLst>
              <a:ext uri="{FF2B5EF4-FFF2-40B4-BE49-F238E27FC236}">
                <a16:creationId xmlns:a16="http://schemas.microsoft.com/office/drawing/2014/main" id="{9B7042EE-0048-8F29-329E-E7087477012C}"/>
              </a:ext>
            </a:extLst>
          </xdr:cNvPr>
          <xdr:cNvSpPr/>
        </xdr:nvSpPr>
        <xdr:spPr>
          <a:xfrm>
            <a:off x="8531748" y="1619250"/>
            <a:ext cx="3656824" cy="954881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DBF8E731-2556-4A50-88B3-D69B4BAC08FB}" type="TxLink">
              <a:rPr lang="en-US" sz="4400" b="0" i="0" u="none" strike="noStrike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 R$ 3.880,00 </a:t>
            </a:fld>
            <a:endParaRPr lang="pt-BR" sz="4400" b="0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21" name="Retângulo: Cantos Superiores Arredondados 20">
            <a:extLst>
              <a:ext uri="{FF2B5EF4-FFF2-40B4-BE49-F238E27FC236}">
                <a16:creationId xmlns:a16="http://schemas.microsoft.com/office/drawing/2014/main" id="{DAAB4FAD-C232-6F55-7308-727AAAB14466}"/>
              </a:ext>
            </a:extLst>
          </xdr:cNvPr>
          <xdr:cNvSpPr/>
        </xdr:nvSpPr>
        <xdr:spPr>
          <a:xfrm>
            <a:off x="7128415" y="1157287"/>
            <a:ext cx="4817601" cy="464344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SUBSCRIPITIONS MINECRAFT SEASON PASS</a:t>
            </a:r>
            <a:endParaRPr lang="pt-BR" sz="11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pSp>
        <xdr:nvGrpSpPr>
          <xdr:cNvPr id="22" name="Agrupar 21">
            <a:extLst>
              <a:ext uri="{FF2B5EF4-FFF2-40B4-BE49-F238E27FC236}">
                <a16:creationId xmlns:a16="http://schemas.microsoft.com/office/drawing/2014/main" id="{161173BA-9529-4800-8992-4CE751368B97}"/>
              </a:ext>
            </a:extLst>
          </xdr:cNvPr>
          <xdr:cNvGrpSpPr/>
        </xdr:nvGrpSpPr>
        <xdr:grpSpPr>
          <a:xfrm>
            <a:off x="7207107" y="1720452"/>
            <a:ext cx="1549476" cy="752476"/>
            <a:chOff x="3400426" y="5400674"/>
            <a:chExt cx="1549476" cy="752476"/>
          </a:xfrm>
        </xdr:grpSpPr>
        <xdr:pic>
          <xdr:nvPicPr>
            <xdr:cNvPr id="23" name="Imagem 22">
              <a:extLst>
                <a:ext uri="{FF2B5EF4-FFF2-40B4-BE49-F238E27FC236}">
                  <a16:creationId xmlns:a16="http://schemas.microsoft.com/office/drawing/2014/main" id="{BB90CDCD-1545-87B1-C96A-02AD3EE7966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03359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4" name="Gráfico 23">
              <a:extLst>
                <a:ext uri="{FF2B5EF4-FFF2-40B4-BE49-F238E27FC236}">
                  <a16:creationId xmlns:a16="http://schemas.microsoft.com/office/drawing/2014/main" id="{F1287EEE-FA63-AA6B-3A45-3E8101B9F10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00426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2</xdr:col>
      <xdr:colOff>44196</xdr:colOff>
      <xdr:row>14</xdr:row>
      <xdr:rowOff>47625</xdr:rowOff>
    </xdr:from>
    <xdr:to>
      <xdr:col>18</xdr:col>
      <xdr:colOff>329947</xdr:colOff>
      <xdr:row>41</xdr:row>
      <xdr:rowOff>0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E8E8AB1A-FB99-08B2-0626-F7D412BE086A}"/>
            </a:ext>
          </a:extLst>
        </xdr:cNvPr>
        <xdr:cNvGrpSpPr/>
      </xdr:nvGrpSpPr>
      <xdr:grpSpPr>
        <a:xfrm>
          <a:off x="1980946" y="3000375"/>
          <a:ext cx="10144126" cy="5095875"/>
          <a:chOff x="1797843" y="3071812"/>
          <a:chExt cx="10203657" cy="5274469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3127FD19-82EC-AA64-1F4A-3559D8F41BCD}"/>
              </a:ext>
            </a:extLst>
          </xdr:cNvPr>
          <xdr:cNvGrpSpPr/>
        </xdr:nvGrpSpPr>
        <xdr:grpSpPr>
          <a:xfrm>
            <a:off x="1797843" y="3190876"/>
            <a:ext cx="10203657" cy="5155405"/>
            <a:chOff x="1631155" y="988219"/>
            <a:chExt cx="5014920" cy="3024187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046413DC-123A-BA95-901B-4B2F78180D29}"/>
                </a:ext>
              </a:extLst>
            </xdr:cNvPr>
            <xdr:cNvSpPr/>
          </xdr:nvSpPr>
          <xdr:spPr>
            <a:xfrm>
              <a:off x="1631155" y="988219"/>
              <a:ext cx="4905376" cy="3024187"/>
            </a:xfrm>
            <a:prstGeom prst="roundRect">
              <a:avLst>
                <a:gd name="adj" fmla="val 8793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EC784400-64BE-4988-9554-E003D324552F}"/>
                </a:ext>
              </a:extLst>
            </xdr:cNvPr>
            <xdr:cNvGraphicFramePr>
              <a:graphicFrameLocks/>
            </xdr:cNvGraphicFramePr>
          </xdr:nvGraphicFramePr>
          <xdr:xfrm>
            <a:off x="1792417" y="1238250"/>
            <a:ext cx="4853658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6" name="Retângulo: Cantos Superiores Arredondados 25">
            <a:extLst>
              <a:ext uri="{FF2B5EF4-FFF2-40B4-BE49-F238E27FC236}">
                <a16:creationId xmlns:a16="http://schemas.microsoft.com/office/drawing/2014/main" id="{E00563A9-6531-47E3-9257-90966C7B3BDE}"/>
              </a:ext>
            </a:extLst>
          </xdr:cNvPr>
          <xdr:cNvSpPr/>
        </xdr:nvSpPr>
        <xdr:spPr>
          <a:xfrm>
            <a:off x="1797843" y="3071812"/>
            <a:ext cx="9961101" cy="464344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SUBSCRIPITIONS XBOX GAME PASS</a:t>
            </a:r>
            <a:endParaRPr lang="pt-BR" sz="11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577603</xdr:colOff>
      <xdr:row>0</xdr:row>
      <xdr:rowOff>50771</xdr:rowOff>
    </xdr:from>
    <xdr:to>
      <xdr:col>0</xdr:col>
      <xdr:colOff>1272928</xdr:colOff>
      <xdr:row>2</xdr:row>
      <xdr:rowOff>67439</xdr:rowOff>
    </xdr:to>
    <xdr:sp macro="" textlink="">
      <xdr:nvSpPr>
        <xdr:cNvPr id="28" name="Elipse 27">
          <a:extLst>
            <a:ext uri="{FF2B5EF4-FFF2-40B4-BE49-F238E27FC236}">
              <a16:creationId xmlns:a16="http://schemas.microsoft.com/office/drawing/2014/main" id="{5AD93B63-045D-480E-8424-CCD17FD4601A}"/>
            </a:ext>
          </a:extLst>
        </xdr:cNvPr>
        <xdr:cNvSpPr/>
      </xdr:nvSpPr>
      <xdr:spPr>
        <a:xfrm>
          <a:off x="577603" y="50771"/>
          <a:ext cx="695325" cy="611981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1100" kern="1200"/>
        </a:p>
      </xdr:txBody>
    </xdr:sp>
    <xdr:clientData/>
  </xdr:twoCellAnchor>
  <xdr:twoCellAnchor>
    <xdr:from>
      <xdr:col>19</xdr:col>
      <xdr:colOff>0</xdr:colOff>
      <xdr:row>14</xdr:row>
      <xdr:rowOff>47625</xdr:rowOff>
    </xdr:from>
    <xdr:to>
      <xdr:col>27</xdr:col>
      <xdr:colOff>0</xdr:colOff>
      <xdr:row>41</xdr:row>
      <xdr:rowOff>0</xdr:rowOff>
    </xdr:to>
    <xdr:grpSp>
      <xdr:nvGrpSpPr>
        <xdr:cNvPr id="39" name="Agrupar 38">
          <a:extLst>
            <a:ext uri="{FF2B5EF4-FFF2-40B4-BE49-F238E27FC236}">
              <a16:creationId xmlns:a16="http://schemas.microsoft.com/office/drawing/2014/main" id="{C6BDB4A2-7E3C-2E50-1FBC-9D005E1ACE7C}"/>
            </a:ext>
          </a:extLst>
        </xdr:cNvPr>
        <xdr:cNvGrpSpPr/>
      </xdr:nvGrpSpPr>
      <xdr:grpSpPr>
        <a:xfrm>
          <a:off x="12398375" y="3000375"/>
          <a:ext cx="4826000" cy="5095875"/>
          <a:chOff x="1969039" y="7174514"/>
          <a:chExt cx="9902986" cy="3619500"/>
        </a:xfrm>
      </xdr:grpSpPr>
      <xdr:sp macro="" textlink="">
        <xdr:nvSpPr>
          <xdr:cNvPr id="36" name="Retângulo: Cantos Arredondados 35">
            <a:extLst>
              <a:ext uri="{FF2B5EF4-FFF2-40B4-BE49-F238E27FC236}">
                <a16:creationId xmlns:a16="http://schemas.microsoft.com/office/drawing/2014/main" id="{EC7C7352-9EBF-3685-35F8-7FF00F1A082E}"/>
              </a:ext>
            </a:extLst>
          </xdr:cNvPr>
          <xdr:cNvSpPr/>
        </xdr:nvSpPr>
        <xdr:spPr>
          <a:xfrm>
            <a:off x="1969039" y="7174514"/>
            <a:ext cx="9902985" cy="3619500"/>
          </a:xfrm>
          <a:prstGeom prst="roundRect">
            <a:avLst>
              <a:gd name="adj" fmla="val 8793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2" name="Gráfico 31">
            <a:extLst>
              <a:ext uri="{FF2B5EF4-FFF2-40B4-BE49-F238E27FC236}">
                <a16:creationId xmlns:a16="http://schemas.microsoft.com/office/drawing/2014/main" id="{5086B43E-FF15-4B36-BA0E-57BBC5BF6BFC}"/>
              </a:ext>
            </a:extLst>
          </xdr:cNvPr>
          <xdr:cNvGraphicFramePr>
            <a:graphicFrameLocks/>
          </xdr:cNvGraphicFramePr>
        </xdr:nvGraphicFramePr>
        <xdr:xfrm>
          <a:off x="1994995" y="7580439"/>
          <a:ext cx="9783079" cy="296707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sp macro="" textlink="">
        <xdr:nvSpPr>
          <xdr:cNvPr id="35" name="Retângulo: Cantos Superiores Arredondados 34">
            <a:extLst>
              <a:ext uri="{FF2B5EF4-FFF2-40B4-BE49-F238E27FC236}">
                <a16:creationId xmlns:a16="http://schemas.microsoft.com/office/drawing/2014/main" id="{10EA9AA1-613B-5537-6D5E-1C392DF2BD64}"/>
              </a:ext>
            </a:extLst>
          </xdr:cNvPr>
          <xdr:cNvSpPr/>
        </xdr:nvSpPr>
        <xdr:spPr>
          <a:xfrm>
            <a:off x="1969040" y="7174514"/>
            <a:ext cx="9902985" cy="313406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SUBSCRIPITIONS MINECRAFT SEASON PASS FOR PLAN</a:t>
            </a:r>
            <a:endParaRPr lang="pt-BR" sz="11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19</xdr:col>
      <xdr:colOff>12575</xdr:colOff>
      <xdr:row>5</xdr:row>
      <xdr:rowOff>154782</xdr:rowOff>
    </xdr:from>
    <xdr:to>
      <xdr:col>26</xdr:col>
      <xdr:colOff>580977</xdr:colOff>
      <xdr:row>12</xdr:row>
      <xdr:rowOff>95250</xdr:rowOff>
    </xdr:to>
    <xdr:sp macro="" textlink="">
      <xdr:nvSpPr>
        <xdr:cNvPr id="41" name="Retângulo: Cantos Arredondados 40">
          <a:extLst>
            <a:ext uri="{FF2B5EF4-FFF2-40B4-BE49-F238E27FC236}">
              <a16:creationId xmlns:a16="http://schemas.microsoft.com/office/drawing/2014/main" id="{8C7C0126-D74D-2DD4-DECB-4C8B802E3757}"/>
            </a:ext>
          </a:extLst>
        </xdr:cNvPr>
        <xdr:cNvSpPr/>
      </xdr:nvSpPr>
      <xdr:spPr>
        <a:xfrm>
          <a:off x="12410950" y="1393032"/>
          <a:ext cx="4791152" cy="1273968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427252</xdr:colOff>
      <xdr:row>7</xdr:row>
      <xdr:rowOff>0</xdr:rowOff>
    </xdr:from>
    <xdr:to>
      <xdr:col>26</xdr:col>
      <xdr:colOff>444500</xdr:colOff>
      <xdr:row>12</xdr:row>
      <xdr:rowOff>2381</xdr:rowOff>
    </xdr:to>
    <xdr:sp macro="" textlink="C̳álculos!D49">
      <xdr:nvSpPr>
        <xdr:cNvPr id="42" name="Retângulo: Cantos Arredondados 41">
          <a:extLst>
            <a:ext uri="{FF2B5EF4-FFF2-40B4-BE49-F238E27FC236}">
              <a16:creationId xmlns:a16="http://schemas.microsoft.com/office/drawing/2014/main" id="{9FDD28C7-0650-6466-0113-E869E7654C18}"/>
            </a:ext>
          </a:extLst>
        </xdr:cNvPr>
        <xdr:cNvSpPr/>
      </xdr:nvSpPr>
      <xdr:spPr>
        <a:xfrm>
          <a:off x="13428877" y="1619250"/>
          <a:ext cx="3636748" cy="954881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D48F9921-9648-4001-A762-695DB6F51A9E}" type="TxLink">
            <a:rPr lang="en-US" sz="4400" b="0" i="0" u="none" strike="noStrike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 R$ 2.122,00 </a:t>
          </a:fld>
          <a:endParaRPr lang="pt-BR" sz="4400" b="0">
            <a:solidFill>
              <a:srgbClr val="22C55E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19</xdr:col>
      <xdr:colOff>0</xdr:colOff>
      <xdr:row>4</xdr:row>
      <xdr:rowOff>95250</xdr:rowOff>
    </xdr:from>
    <xdr:to>
      <xdr:col>26</xdr:col>
      <xdr:colOff>568402</xdr:colOff>
      <xdr:row>6</xdr:row>
      <xdr:rowOff>178594</xdr:rowOff>
    </xdr:to>
    <xdr:sp macro="" textlink="">
      <xdr:nvSpPr>
        <xdr:cNvPr id="43" name="Retângulo: Cantos Superiores Arredondados 42">
          <a:extLst>
            <a:ext uri="{FF2B5EF4-FFF2-40B4-BE49-F238E27FC236}">
              <a16:creationId xmlns:a16="http://schemas.microsoft.com/office/drawing/2014/main" id="{D3CEC31F-4E18-3884-10E3-9F6336A66B67}"/>
            </a:ext>
          </a:extLst>
        </xdr:cNvPr>
        <xdr:cNvSpPr/>
      </xdr:nvSpPr>
      <xdr:spPr>
        <a:xfrm>
          <a:off x="12398375" y="1143000"/>
          <a:ext cx="4791152" cy="464344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TOTAL DISCOUNT APPLIED</a:t>
          </a:r>
        </a:p>
      </xdr:txBody>
    </xdr:sp>
    <xdr:clientData/>
  </xdr:twoCellAnchor>
  <xdr:twoCellAnchor editAs="oneCell">
    <xdr:from>
      <xdr:col>19</xdr:col>
      <xdr:colOff>396875</xdr:colOff>
      <xdr:row>7</xdr:row>
      <xdr:rowOff>96440</xdr:rowOff>
    </xdr:from>
    <xdr:to>
      <xdr:col>21</xdr:col>
      <xdr:colOff>136306</xdr:colOff>
      <xdr:row>11</xdr:row>
      <xdr:rowOff>96440</xdr:rowOff>
    </xdr:to>
    <xdr:pic>
      <xdr:nvPicPr>
        <xdr:cNvPr id="47" name="Imagem 46" descr="O cão que fuma...: [Língua Portuguesa] Como usar os símbolos do Euro e do  Real">
          <a:extLst>
            <a:ext uri="{FF2B5EF4-FFF2-40B4-BE49-F238E27FC236}">
              <a16:creationId xmlns:a16="http://schemas.microsoft.com/office/drawing/2014/main" id="{FAB02674-C35B-4611-8FBA-BDF1CD23F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95250" y="1715690"/>
          <a:ext cx="945931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esar" refreshedDate="46037.840434259262" createdVersion="8" refreshedVersion="8" minRefreshableVersion="3" recordCount="295" xr:uid="{FD5B5F58-63EA-4065-A28C-C996B55BD120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52107230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3C464C-8685-4FC5-9D11-CAF8257EAB12}" name="tbl_a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B10:D13" firstHeaderRow="0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6" hier="-1"/>
  </pageFields>
  <dataFields count="2">
    <dataField name="Soma de Total Value" fld="12" baseField="0" baseItem="0" numFmtId="44"/>
    <dataField name="Contagem de Subscription Type" fld="6" subtotal="count" baseField="0" baseItem="0"/>
  </dataFields>
  <chartFormats count="4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0DFA9D-72BF-44D0-8356-FC05E766B4C9}" name="Tabela dinâmica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0">
  <location ref="B48:B49" firstHeaderRow="1" firstDataRow="1" firstDataCol="0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h="1"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numFmtId="44" showAll="0"/>
    <pivotField dataField="1" numFmtId="44" showAll="0"/>
    <pivotField numFmtId="44" showAll="0"/>
  </pivotFields>
  <rowItems count="1">
    <i/>
  </rowItems>
  <colItems count="1">
    <i/>
  </colItems>
  <dataFields count="1">
    <dataField name="Soma de Coupon Value" fld="11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458E7D-2904-475B-941C-51713E2EF739}" name="Tabela dinâ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0">
  <location ref="B43:C46" firstHeaderRow="1" firstDataRow="1" firstDataCol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h="1"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3">
    <i>
      <x v="1"/>
    </i>
    <i>
      <x v="2"/>
    </i>
    <i t="grand">
      <x/>
    </i>
  </rowItems>
  <colItems count="1">
    <i/>
  </colItems>
  <dataFields count="1">
    <dataField name="Soma de Minecraft Season Pass Price" fld="10" baseField="0" baseItem="0" numFmtId="44"/>
  </dataFields>
  <chartFormats count="2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102217-20BD-4707-BFF7-B27EBD5223B0}" name="Tabela dinâ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3">
  <location ref="B38:C41" firstHeaderRow="1" firstDataRow="1" firstDataCol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h="1"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3">
    <i>
      <x v="1"/>
    </i>
    <i>
      <x v="2"/>
    </i>
    <i t="grand">
      <x/>
    </i>
  </rowItems>
  <colItems count="1">
    <i/>
  </colItems>
  <dataFields count="1">
    <dataField name="Soma de Minecraft Season Pass Price" fld="10" baseField="0" baseItem="0" numFmtId="44"/>
  </dataFields>
  <chartFormats count="3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DCE555-CBAA-47E8-8DBE-DD2A89F6985C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B30:B31" firstHeaderRow="1" firstDataRow="1" firstDataCol="0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Items count="1">
    <i/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46B4D0-D9F3-436F-994A-E84AA02A7D9B}" name="tbl_ea_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0:C2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493652C3-C276-4D6B-AA11-DF5F217FEE57}" sourceName="Subscription Type">
  <pivotTables>
    <pivotTable tabId="3" name="tbl_anual_total"/>
    <pivotTable tabId="3" name="tbl_ea_seasonpass_total"/>
    <pivotTable tabId="3" name="Tabela dinâmica3"/>
    <pivotTable tabId="3" name="Tabela dinâmica6"/>
    <pivotTable tabId="3" name="Tabela dinâmica7"/>
    <pivotTable tabId="3" name="Tabela dinâmica8"/>
  </pivotTables>
  <data>
    <tabular pivotCacheId="1521072306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7724A2FC-7FA8-4079-9731-E8D5D447CC37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3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N14" sqref="N14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A31" sqref="A31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1:D49"/>
  <sheetViews>
    <sheetView showGridLines="0" topLeftCell="A19" zoomScaleNormal="100" workbookViewId="0">
      <selection activeCell="D49" sqref="D49"/>
    </sheetView>
  </sheetViews>
  <sheetFormatPr defaultRowHeight="15" x14ac:dyDescent="0.25"/>
  <cols>
    <col min="2" max="2" width="22.140625" bestFit="1" customWidth="1"/>
    <col min="3" max="3" width="35.140625" bestFit="1" customWidth="1"/>
    <col min="4" max="4" width="30.285156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1" spans="2:4" x14ac:dyDescent="0.25">
      <c r="B1" t="s">
        <v>320</v>
      </c>
    </row>
    <row r="2" spans="2:4" x14ac:dyDescent="0.25">
      <c r="B2" t="s">
        <v>321</v>
      </c>
    </row>
    <row r="4" spans="2:4" x14ac:dyDescent="0.25">
      <c r="B4" t="s">
        <v>313</v>
      </c>
    </row>
    <row r="5" spans="2:4" x14ac:dyDescent="0.25">
      <c r="B5" t="s">
        <v>319</v>
      </c>
    </row>
    <row r="8" spans="2:4" x14ac:dyDescent="0.25">
      <c r="B8" s="12" t="s">
        <v>16</v>
      </c>
      <c r="C8" t="s">
        <v>317</v>
      </c>
    </row>
    <row r="10" spans="2:4" x14ac:dyDescent="0.25">
      <c r="B10" s="12" t="s">
        <v>314</v>
      </c>
      <c r="C10" t="s">
        <v>316</v>
      </c>
      <c r="D10" t="s">
        <v>318</v>
      </c>
    </row>
    <row r="11" spans="2:4" x14ac:dyDescent="0.25">
      <c r="B11" s="13" t="s">
        <v>23</v>
      </c>
      <c r="C11" s="14">
        <v>3847</v>
      </c>
      <c r="D11">
        <v>147</v>
      </c>
    </row>
    <row r="12" spans="2:4" x14ac:dyDescent="0.25">
      <c r="B12" s="13" t="s">
        <v>19</v>
      </c>
      <c r="C12" s="14">
        <v>3786</v>
      </c>
      <c r="D12">
        <v>148</v>
      </c>
    </row>
    <row r="13" spans="2:4" x14ac:dyDescent="0.25">
      <c r="B13" s="13" t="s">
        <v>315</v>
      </c>
      <c r="C13" s="14">
        <v>7633</v>
      </c>
      <c r="D13">
        <v>295</v>
      </c>
    </row>
    <row r="16" spans="2:4" x14ac:dyDescent="0.25">
      <c r="B16" s="13" t="s">
        <v>323</v>
      </c>
    </row>
    <row r="18" spans="2:4" x14ac:dyDescent="0.25">
      <c r="B18" s="12" t="s">
        <v>16</v>
      </c>
      <c r="C18" t="s">
        <v>317</v>
      </c>
    </row>
    <row r="20" spans="2:4" x14ac:dyDescent="0.25">
      <c r="B20" s="12" t="s">
        <v>314</v>
      </c>
      <c r="C20" t="s">
        <v>324</v>
      </c>
    </row>
    <row r="21" spans="2:4" x14ac:dyDescent="0.25">
      <c r="B21" s="13" t="s">
        <v>22</v>
      </c>
      <c r="C21">
        <v>0</v>
      </c>
    </row>
    <row r="22" spans="2:4" x14ac:dyDescent="0.25">
      <c r="B22" s="13" t="s">
        <v>26</v>
      </c>
      <c r="C22">
        <v>0</v>
      </c>
    </row>
    <row r="23" spans="2:4" x14ac:dyDescent="0.25">
      <c r="B23" s="13" t="s">
        <v>18</v>
      </c>
      <c r="C23">
        <v>2940</v>
      </c>
    </row>
    <row r="24" spans="2:4" x14ac:dyDescent="0.25">
      <c r="B24" s="13" t="s">
        <v>315</v>
      </c>
      <c r="C24">
        <v>2940</v>
      </c>
      <c r="D24" s="16">
        <f>GETPIVOTDATA("EA Play Season Pass
Price",$B$20)</f>
        <v>2940</v>
      </c>
    </row>
    <row r="26" spans="2:4" x14ac:dyDescent="0.25">
      <c r="B26" s="13" t="s">
        <v>325</v>
      </c>
    </row>
    <row r="28" spans="2:4" x14ac:dyDescent="0.25">
      <c r="B28" s="12" t="s">
        <v>16</v>
      </c>
      <c r="C28" t="s">
        <v>317</v>
      </c>
    </row>
    <row r="30" spans="2:4" x14ac:dyDescent="0.25">
      <c r="B30" t="s">
        <v>326</v>
      </c>
    </row>
    <row r="31" spans="2:4" x14ac:dyDescent="0.25">
      <c r="B31" s="14">
        <v>3880</v>
      </c>
      <c r="D31" s="16">
        <f>GETPIVOTDATA("Minecraft Season Pass Price",$B$30)</f>
        <v>3880</v>
      </c>
    </row>
    <row r="33" spans="2:4" x14ac:dyDescent="0.25">
      <c r="B33" t="s">
        <v>329</v>
      </c>
    </row>
    <row r="34" spans="2:4" x14ac:dyDescent="0.25">
      <c r="D34" s="16"/>
    </row>
    <row r="38" spans="2:4" x14ac:dyDescent="0.25">
      <c r="B38" s="12" t="s">
        <v>314</v>
      </c>
      <c r="C38" t="s">
        <v>326</v>
      </c>
    </row>
    <row r="39" spans="2:4" x14ac:dyDescent="0.25">
      <c r="B39" s="13" t="s">
        <v>26</v>
      </c>
      <c r="C39" s="14">
        <v>1920</v>
      </c>
    </row>
    <row r="40" spans="2:4" x14ac:dyDescent="0.25">
      <c r="B40" s="13" t="s">
        <v>18</v>
      </c>
      <c r="C40" s="14">
        <v>1960</v>
      </c>
    </row>
    <row r="41" spans="2:4" x14ac:dyDescent="0.25">
      <c r="B41" s="13" t="s">
        <v>315</v>
      </c>
      <c r="C41" s="14">
        <v>3880</v>
      </c>
    </row>
    <row r="43" spans="2:4" x14ac:dyDescent="0.25">
      <c r="B43" s="12" t="s">
        <v>314</v>
      </c>
      <c r="C43" t="s">
        <v>326</v>
      </c>
    </row>
    <row r="44" spans="2:4" x14ac:dyDescent="0.25">
      <c r="B44" s="13" t="s">
        <v>26</v>
      </c>
      <c r="C44" s="14">
        <v>1920</v>
      </c>
    </row>
    <row r="45" spans="2:4" x14ac:dyDescent="0.25">
      <c r="B45" s="13" t="s">
        <v>18</v>
      </c>
      <c r="C45" s="14">
        <v>1960</v>
      </c>
    </row>
    <row r="46" spans="2:4" x14ac:dyDescent="0.25">
      <c r="B46" s="13" t="s">
        <v>315</v>
      </c>
      <c r="C46" s="14">
        <v>3880</v>
      </c>
    </row>
    <row r="48" spans="2:4" x14ac:dyDescent="0.25">
      <c r="B48" t="s">
        <v>330</v>
      </c>
    </row>
    <row r="49" spans="2:4" x14ac:dyDescent="0.25">
      <c r="B49" s="14">
        <v>2122</v>
      </c>
      <c r="D49" s="16">
        <f>GETPIVOTDATA("Coupon Value",$B$48)</f>
        <v>2122</v>
      </c>
    </row>
  </sheetData>
  <pageMargins left="0.511811024" right="0.511811024" top="0.78740157499999996" bottom="0.78740157499999996" header="0.31496062000000002" footer="0.31496062000000002"/>
  <pageSetup paperSize="9" orientation="portrait" r:id="rId7"/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AP300"/>
  <sheetViews>
    <sheetView showGridLines="0" tabSelected="1" zoomScale="60" zoomScaleNormal="60" workbookViewId="0">
      <selection activeCell="AJ18" sqref="AJ18"/>
    </sheetView>
  </sheetViews>
  <sheetFormatPr defaultRowHeight="15" x14ac:dyDescent="0.25"/>
  <cols>
    <col min="1" max="1" width="25.5703125" style="21" customWidth="1"/>
    <col min="2" max="2" width="3.5703125" customWidth="1"/>
    <col min="12" max="12" width="6.5703125" customWidth="1"/>
    <col min="18" max="18" width="14.5703125" customWidth="1"/>
  </cols>
  <sheetData>
    <row r="1" spans="1:42" ht="22.5" customHeight="1" x14ac:dyDescent="0.25"/>
    <row r="2" spans="1:42" ht="24" customHeight="1" thickBot="1" x14ac:dyDescent="0.6">
      <c r="D2" s="20" t="s">
        <v>322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8"/>
      <c r="T2" s="18"/>
      <c r="U2" s="18"/>
      <c r="V2" s="18"/>
      <c r="W2" s="18"/>
      <c r="X2" s="18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</row>
    <row r="3" spans="1:42" ht="15.75" thickTop="1" x14ac:dyDescent="0.25"/>
    <row r="4" spans="1:42" s="7" customFormat="1" ht="20.25" x14ac:dyDescent="0.35">
      <c r="A4" s="22" t="s">
        <v>327</v>
      </c>
      <c r="C4" s="23" t="s">
        <v>328</v>
      </c>
    </row>
    <row r="5" spans="1:42" s="7" customFormat="1" x14ac:dyDescent="0.25">
      <c r="A5" s="21"/>
    </row>
    <row r="6" spans="1:42" s="7" customFormat="1" x14ac:dyDescent="0.25">
      <c r="A6" s="21"/>
    </row>
    <row r="7" spans="1:42" s="7" customFormat="1" x14ac:dyDescent="0.25">
      <c r="A7" s="21"/>
    </row>
    <row r="8" spans="1:42" s="7" customFormat="1" x14ac:dyDescent="0.25">
      <c r="A8" s="21"/>
    </row>
    <row r="9" spans="1:42" s="7" customFormat="1" x14ac:dyDescent="0.25">
      <c r="A9" s="21"/>
    </row>
    <row r="10" spans="1:42" s="7" customFormat="1" x14ac:dyDescent="0.25">
      <c r="A10" s="21"/>
    </row>
    <row r="11" spans="1:42" s="7" customFormat="1" x14ac:dyDescent="0.25">
      <c r="A11" s="21"/>
    </row>
    <row r="12" spans="1:42" s="7" customFormat="1" x14ac:dyDescent="0.25">
      <c r="A12" s="21"/>
    </row>
    <row r="13" spans="1:42" s="7" customFormat="1" x14ac:dyDescent="0.25">
      <c r="A13" s="21"/>
    </row>
    <row r="14" spans="1:42" s="7" customFormat="1" x14ac:dyDescent="0.25">
      <c r="A14" s="21"/>
    </row>
    <row r="15" spans="1:42" s="7" customFormat="1" x14ac:dyDescent="0.25">
      <c r="A15" s="21"/>
      <c r="Q15" s="17"/>
    </row>
    <row r="16" spans="1:42" s="7" customFormat="1" x14ac:dyDescent="0.25">
      <c r="A16" s="21"/>
    </row>
    <row r="17" spans="1:1" s="7" customFormat="1" x14ac:dyDescent="0.25">
      <c r="A17" s="21"/>
    </row>
    <row r="18" spans="1:1" s="7" customFormat="1" x14ac:dyDescent="0.25">
      <c r="A18" s="21"/>
    </row>
    <row r="19" spans="1:1" s="7" customFormat="1" x14ac:dyDescent="0.25">
      <c r="A19" s="21"/>
    </row>
    <row r="20" spans="1:1" s="7" customFormat="1" x14ac:dyDescent="0.25">
      <c r="A20" s="21"/>
    </row>
    <row r="21" spans="1:1" s="7" customFormat="1" x14ac:dyDescent="0.25">
      <c r="A21" s="21"/>
    </row>
    <row r="22" spans="1:1" s="7" customFormat="1" x14ac:dyDescent="0.25">
      <c r="A22" s="21"/>
    </row>
    <row r="23" spans="1:1" s="7" customFormat="1" x14ac:dyDescent="0.25">
      <c r="A23" s="21"/>
    </row>
    <row r="24" spans="1:1" s="7" customFormat="1" x14ac:dyDescent="0.25">
      <c r="A24" s="21"/>
    </row>
    <row r="25" spans="1:1" s="7" customFormat="1" x14ac:dyDescent="0.25">
      <c r="A25" s="21"/>
    </row>
    <row r="26" spans="1:1" s="7" customFormat="1" x14ac:dyDescent="0.25">
      <c r="A26" s="21"/>
    </row>
    <row r="27" spans="1:1" s="7" customFormat="1" x14ac:dyDescent="0.25">
      <c r="A27" s="21"/>
    </row>
    <row r="28" spans="1:1" s="7" customFormat="1" x14ac:dyDescent="0.25">
      <c r="A28" s="21"/>
    </row>
    <row r="29" spans="1:1" s="7" customFormat="1" x14ac:dyDescent="0.25">
      <c r="A29" s="21"/>
    </row>
    <row r="30" spans="1:1" s="7" customFormat="1" x14ac:dyDescent="0.25">
      <c r="A30" s="21"/>
    </row>
    <row r="31" spans="1:1" s="7" customFormat="1" x14ac:dyDescent="0.25">
      <c r="A31" s="21"/>
    </row>
    <row r="32" spans="1:1" s="7" customFormat="1" x14ac:dyDescent="0.25">
      <c r="A32" s="21"/>
    </row>
    <row r="33" spans="1:1" s="7" customFormat="1" x14ac:dyDescent="0.25">
      <c r="A33" s="21"/>
    </row>
    <row r="34" spans="1:1" s="7" customFormat="1" x14ac:dyDescent="0.25">
      <c r="A34" s="21"/>
    </row>
    <row r="35" spans="1:1" s="7" customFormat="1" x14ac:dyDescent="0.25">
      <c r="A35" s="21"/>
    </row>
    <row r="36" spans="1:1" s="7" customFormat="1" x14ac:dyDescent="0.25">
      <c r="A36" s="21"/>
    </row>
    <row r="37" spans="1:1" s="7" customFormat="1" x14ac:dyDescent="0.25">
      <c r="A37" s="21"/>
    </row>
    <row r="38" spans="1:1" s="7" customFormat="1" x14ac:dyDescent="0.25">
      <c r="A38" s="21"/>
    </row>
    <row r="39" spans="1:1" s="7" customFormat="1" x14ac:dyDescent="0.25">
      <c r="A39" s="21"/>
    </row>
    <row r="40" spans="1:1" s="7" customFormat="1" x14ac:dyDescent="0.25">
      <c r="A40" s="21"/>
    </row>
    <row r="41" spans="1:1" s="7" customFormat="1" x14ac:dyDescent="0.25">
      <c r="A41" s="21"/>
    </row>
    <row r="42" spans="1:1" s="7" customFormat="1" x14ac:dyDescent="0.25">
      <c r="A42" s="21"/>
    </row>
    <row r="43" spans="1:1" s="7" customFormat="1" x14ac:dyDescent="0.25">
      <c r="A43" s="21"/>
    </row>
    <row r="44" spans="1:1" s="7" customFormat="1" x14ac:dyDescent="0.25">
      <c r="A44" s="21"/>
    </row>
    <row r="45" spans="1:1" s="7" customFormat="1" x14ac:dyDescent="0.25">
      <c r="A45" s="21"/>
    </row>
    <row r="46" spans="1:1" s="7" customFormat="1" x14ac:dyDescent="0.25">
      <c r="A46" s="21"/>
    </row>
    <row r="47" spans="1:1" s="7" customFormat="1" x14ac:dyDescent="0.25">
      <c r="A47" s="21"/>
    </row>
    <row r="48" spans="1:1" s="7" customFormat="1" x14ac:dyDescent="0.25">
      <c r="A48" s="21"/>
    </row>
    <row r="49" spans="1:1" s="7" customFormat="1" x14ac:dyDescent="0.25">
      <c r="A49" s="21"/>
    </row>
    <row r="50" spans="1:1" s="7" customFormat="1" x14ac:dyDescent="0.25">
      <c r="A50" s="21"/>
    </row>
    <row r="51" spans="1:1" s="7" customFormat="1" x14ac:dyDescent="0.25">
      <c r="A51" s="21"/>
    </row>
    <row r="52" spans="1:1" s="7" customFormat="1" x14ac:dyDescent="0.25">
      <c r="A52" s="21"/>
    </row>
    <row r="53" spans="1:1" s="7" customFormat="1" x14ac:dyDescent="0.25">
      <c r="A53" s="21"/>
    </row>
    <row r="54" spans="1:1" s="7" customFormat="1" x14ac:dyDescent="0.25">
      <c r="A54" s="21"/>
    </row>
    <row r="55" spans="1:1" s="7" customFormat="1" x14ac:dyDescent="0.25">
      <c r="A55" s="21"/>
    </row>
    <row r="56" spans="1:1" s="7" customFormat="1" x14ac:dyDescent="0.25">
      <c r="A56" s="21"/>
    </row>
    <row r="57" spans="1:1" s="7" customFormat="1" x14ac:dyDescent="0.25">
      <c r="A57" s="21"/>
    </row>
    <row r="58" spans="1:1" s="7" customFormat="1" x14ac:dyDescent="0.25">
      <c r="A58" s="21"/>
    </row>
    <row r="59" spans="1:1" s="7" customFormat="1" x14ac:dyDescent="0.25">
      <c r="A59" s="21"/>
    </row>
    <row r="60" spans="1:1" s="7" customFormat="1" x14ac:dyDescent="0.25">
      <c r="A60" s="21"/>
    </row>
    <row r="61" spans="1:1" s="7" customFormat="1" x14ac:dyDescent="0.25">
      <c r="A61" s="21"/>
    </row>
    <row r="62" spans="1:1" s="7" customFormat="1" x14ac:dyDescent="0.25">
      <c r="A62" s="21"/>
    </row>
    <row r="63" spans="1:1" s="7" customFormat="1" x14ac:dyDescent="0.25">
      <c r="A63" s="21"/>
    </row>
    <row r="64" spans="1:1" s="7" customFormat="1" x14ac:dyDescent="0.25">
      <c r="A64" s="21"/>
    </row>
    <row r="65" spans="1:1" s="7" customFormat="1" x14ac:dyDescent="0.25">
      <c r="A65" s="21"/>
    </row>
    <row r="66" spans="1:1" s="7" customFormat="1" x14ac:dyDescent="0.25">
      <c r="A66" s="21"/>
    </row>
    <row r="67" spans="1:1" s="7" customFormat="1" x14ac:dyDescent="0.25">
      <c r="A67" s="21"/>
    </row>
    <row r="68" spans="1:1" s="7" customFormat="1" x14ac:dyDescent="0.25">
      <c r="A68" s="21"/>
    </row>
    <row r="69" spans="1:1" s="7" customFormat="1" x14ac:dyDescent="0.25">
      <c r="A69" s="21"/>
    </row>
    <row r="70" spans="1:1" s="7" customFormat="1" x14ac:dyDescent="0.25">
      <c r="A70" s="21"/>
    </row>
    <row r="71" spans="1:1" s="7" customFormat="1" x14ac:dyDescent="0.25">
      <c r="A71" s="21"/>
    </row>
    <row r="72" spans="1:1" s="7" customFormat="1" x14ac:dyDescent="0.25">
      <c r="A72" s="21"/>
    </row>
    <row r="73" spans="1:1" s="7" customFormat="1" x14ac:dyDescent="0.25">
      <c r="A73" s="21"/>
    </row>
    <row r="74" spans="1:1" s="7" customFormat="1" x14ac:dyDescent="0.25">
      <c r="A74" s="21"/>
    </row>
    <row r="75" spans="1:1" s="7" customFormat="1" x14ac:dyDescent="0.25">
      <c r="A75" s="21"/>
    </row>
    <row r="76" spans="1:1" s="7" customFormat="1" x14ac:dyDescent="0.25">
      <c r="A76" s="21"/>
    </row>
    <row r="77" spans="1:1" s="7" customFormat="1" x14ac:dyDescent="0.25">
      <c r="A77" s="21"/>
    </row>
    <row r="78" spans="1:1" s="7" customFormat="1" x14ac:dyDescent="0.25">
      <c r="A78" s="21"/>
    </row>
    <row r="79" spans="1:1" s="7" customFormat="1" x14ac:dyDescent="0.25">
      <c r="A79" s="21"/>
    </row>
    <row r="80" spans="1:1" s="7" customFormat="1" x14ac:dyDescent="0.25">
      <c r="A80" s="21"/>
    </row>
    <row r="81" spans="1:1" s="7" customFormat="1" x14ac:dyDescent="0.25">
      <c r="A81" s="21"/>
    </row>
    <row r="82" spans="1:1" s="7" customFormat="1" x14ac:dyDescent="0.25">
      <c r="A82" s="21"/>
    </row>
    <row r="83" spans="1:1" s="7" customFormat="1" x14ac:dyDescent="0.25">
      <c r="A83" s="21"/>
    </row>
    <row r="84" spans="1:1" s="7" customFormat="1" x14ac:dyDescent="0.25">
      <c r="A84" s="21"/>
    </row>
    <row r="85" spans="1:1" s="7" customFormat="1" x14ac:dyDescent="0.25">
      <c r="A85" s="21"/>
    </row>
    <row r="86" spans="1:1" s="7" customFormat="1" x14ac:dyDescent="0.25">
      <c r="A86" s="21"/>
    </row>
    <row r="87" spans="1:1" s="7" customFormat="1" x14ac:dyDescent="0.25">
      <c r="A87" s="21"/>
    </row>
    <row r="88" spans="1:1" s="7" customFormat="1" x14ac:dyDescent="0.25">
      <c r="A88" s="21"/>
    </row>
    <row r="89" spans="1:1" s="7" customFormat="1" x14ac:dyDescent="0.25">
      <c r="A89" s="21"/>
    </row>
    <row r="90" spans="1:1" s="7" customFormat="1" x14ac:dyDescent="0.25">
      <c r="A90" s="21"/>
    </row>
    <row r="91" spans="1:1" s="7" customFormat="1" x14ac:dyDescent="0.25">
      <c r="A91" s="21"/>
    </row>
    <row r="92" spans="1:1" s="7" customFormat="1" x14ac:dyDescent="0.25">
      <c r="A92" s="21"/>
    </row>
    <row r="93" spans="1:1" s="7" customFormat="1" x14ac:dyDescent="0.25">
      <c r="A93" s="21"/>
    </row>
    <row r="94" spans="1:1" s="7" customFormat="1" x14ac:dyDescent="0.25">
      <c r="A94" s="21"/>
    </row>
    <row r="95" spans="1:1" s="7" customFormat="1" x14ac:dyDescent="0.25">
      <c r="A95" s="21"/>
    </row>
    <row r="96" spans="1:1" s="7" customFormat="1" x14ac:dyDescent="0.25">
      <c r="A96" s="21"/>
    </row>
    <row r="97" spans="1:1" s="7" customFormat="1" x14ac:dyDescent="0.25">
      <c r="A97" s="21"/>
    </row>
    <row r="98" spans="1:1" s="7" customFormat="1" x14ac:dyDescent="0.25">
      <c r="A98" s="21"/>
    </row>
    <row r="99" spans="1:1" s="7" customFormat="1" x14ac:dyDescent="0.25">
      <c r="A99" s="21"/>
    </row>
    <row r="100" spans="1:1" s="7" customFormat="1" x14ac:dyDescent="0.25">
      <c r="A100" s="21"/>
    </row>
    <row r="101" spans="1:1" s="7" customFormat="1" x14ac:dyDescent="0.25">
      <c r="A101" s="21"/>
    </row>
    <row r="102" spans="1:1" s="7" customFormat="1" x14ac:dyDescent="0.25">
      <c r="A102" s="21"/>
    </row>
    <row r="103" spans="1:1" s="7" customFormat="1" x14ac:dyDescent="0.25">
      <c r="A103" s="21"/>
    </row>
    <row r="104" spans="1:1" s="7" customFormat="1" x14ac:dyDescent="0.25">
      <c r="A104" s="21"/>
    </row>
    <row r="105" spans="1:1" s="7" customFormat="1" x14ac:dyDescent="0.25">
      <c r="A105" s="21"/>
    </row>
    <row r="106" spans="1:1" s="7" customFormat="1" x14ac:dyDescent="0.25">
      <c r="A106" s="21"/>
    </row>
    <row r="107" spans="1:1" s="7" customFormat="1" x14ac:dyDescent="0.25">
      <c r="A107" s="21"/>
    </row>
    <row r="108" spans="1:1" s="7" customFormat="1" x14ac:dyDescent="0.25">
      <c r="A108" s="21"/>
    </row>
    <row r="109" spans="1:1" s="7" customFormat="1" x14ac:dyDescent="0.25">
      <c r="A109" s="21"/>
    </row>
    <row r="110" spans="1:1" s="7" customFormat="1" x14ac:dyDescent="0.25">
      <c r="A110" s="21"/>
    </row>
    <row r="111" spans="1:1" s="7" customFormat="1" x14ac:dyDescent="0.25">
      <c r="A111" s="21"/>
    </row>
    <row r="112" spans="1:1" s="7" customFormat="1" x14ac:dyDescent="0.25">
      <c r="A112" s="21"/>
    </row>
    <row r="113" spans="1:1" s="7" customFormat="1" x14ac:dyDescent="0.25">
      <c r="A113" s="21"/>
    </row>
    <row r="114" spans="1:1" s="7" customFormat="1" x14ac:dyDescent="0.25">
      <c r="A114" s="21"/>
    </row>
    <row r="115" spans="1:1" s="7" customFormat="1" x14ac:dyDescent="0.25">
      <c r="A115" s="21"/>
    </row>
    <row r="116" spans="1:1" s="7" customFormat="1" x14ac:dyDescent="0.25">
      <c r="A116" s="21"/>
    </row>
    <row r="117" spans="1:1" s="7" customFormat="1" x14ac:dyDescent="0.25">
      <c r="A117" s="21"/>
    </row>
    <row r="118" spans="1:1" s="7" customFormat="1" x14ac:dyDescent="0.25">
      <c r="A118" s="21"/>
    </row>
    <row r="119" spans="1:1" s="7" customFormat="1" x14ac:dyDescent="0.25">
      <c r="A119" s="21"/>
    </row>
    <row r="120" spans="1:1" s="7" customFormat="1" x14ac:dyDescent="0.25">
      <c r="A120" s="21"/>
    </row>
    <row r="121" spans="1:1" s="7" customFormat="1" x14ac:dyDescent="0.25">
      <c r="A121" s="21"/>
    </row>
    <row r="122" spans="1:1" s="7" customFormat="1" x14ac:dyDescent="0.25">
      <c r="A122" s="21"/>
    </row>
    <row r="123" spans="1:1" s="7" customFormat="1" x14ac:dyDescent="0.25">
      <c r="A123" s="21"/>
    </row>
    <row r="124" spans="1:1" s="7" customFormat="1" x14ac:dyDescent="0.25">
      <c r="A124" s="21"/>
    </row>
    <row r="125" spans="1:1" s="7" customFormat="1" x14ac:dyDescent="0.25">
      <c r="A125" s="21"/>
    </row>
    <row r="126" spans="1:1" s="7" customFormat="1" x14ac:dyDescent="0.25">
      <c r="A126" s="21"/>
    </row>
    <row r="127" spans="1:1" s="7" customFormat="1" x14ac:dyDescent="0.25">
      <c r="A127" s="21"/>
    </row>
    <row r="128" spans="1:1" s="7" customFormat="1" x14ac:dyDescent="0.25">
      <c r="A128" s="21"/>
    </row>
    <row r="129" spans="1:1" s="7" customFormat="1" x14ac:dyDescent="0.25">
      <c r="A129" s="21"/>
    </row>
    <row r="130" spans="1:1" s="7" customFormat="1" x14ac:dyDescent="0.25">
      <c r="A130" s="21"/>
    </row>
    <row r="131" spans="1:1" s="7" customFormat="1" x14ac:dyDescent="0.25">
      <c r="A131" s="21"/>
    </row>
    <row r="132" spans="1:1" s="7" customFormat="1" x14ac:dyDescent="0.25">
      <c r="A132" s="21"/>
    </row>
    <row r="133" spans="1:1" s="7" customFormat="1" x14ac:dyDescent="0.25">
      <c r="A133" s="21"/>
    </row>
    <row r="134" spans="1:1" s="7" customFormat="1" x14ac:dyDescent="0.25">
      <c r="A134" s="21"/>
    </row>
    <row r="135" spans="1:1" s="7" customFormat="1" x14ac:dyDescent="0.25">
      <c r="A135" s="21"/>
    </row>
    <row r="136" spans="1:1" s="7" customFormat="1" x14ac:dyDescent="0.25">
      <c r="A136" s="21"/>
    </row>
    <row r="137" spans="1:1" s="7" customFormat="1" x14ac:dyDescent="0.25">
      <c r="A137" s="21"/>
    </row>
    <row r="138" spans="1:1" s="7" customFormat="1" x14ac:dyDescent="0.25">
      <c r="A138" s="21"/>
    </row>
    <row r="139" spans="1:1" s="7" customFormat="1" x14ac:dyDescent="0.25">
      <c r="A139" s="21"/>
    </row>
    <row r="140" spans="1:1" s="7" customFormat="1" x14ac:dyDescent="0.25">
      <c r="A140" s="21"/>
    </row>
    <row r="141" spans="1:1" s="7" customFormat="1" x14ac:dyDescent="0.25">
      <c r="A141" s="21"/>
    </row>
    <row r="142" spans="1:1" s="7" customFormat="1" x14ac:dyDescent="0.25">
      <c r="A142" s="21"/>
    </row>
    <row r="143" spans="1:1" s="7" customFormat="1" x14ac:dyDescent="0.25">
      <c r="A143" s="21"/>
    </row>
    <row r="144" spans="1:1" s="7" customFormat="1" x14ac:dyDescent="0.25">
      <c r="A144" s="21"/>
    </row>
    <row r="145" spans="1:1" s="7" customFormat="1" x14ac:dyDescent="0.25">
      <c r="A145" s="21"/>
    </row>
    <row r="146" spans="1:1" s="7" customFormat="1" x14ac:dyDescent="0.25">
      <c r="A146" s="21"/>
    </row>
    <row r="147" spans="1:1" s="7" customFormat="1" x14ac:dyDescent="0.25">
      <c r="A147" s="21"/>
    </row>
    <row r="148" spans="1:1" s="7" customFormat="1" x14ac:dyDescent="0.25">
      <c r="A148" s="21"/>
    </row>
    <row r="149" spans="1:1" s="7" customFormat="1" x14ac:dyDescent="0.25">
      <c r="A149" s="21"/>
    </row>
    <row r="150" spans="1:1" s="7" customFormat="1" x14ac:dyDescent="0.25">
      <c r="A150" s="21"/>
    </row>
    <row r="151" spans="1:1" s="7" customFormat="1" x14ac:dyDescent="0.25">
      <c r="A151" s="21"/>
    </row>
    <row r="152" spans="1:1" s="7" customFormat="1" x14ac:dyDescent="0.25">
      <c r="A152" s="21"/>
    </row>
    <row r="153" spans="1:1" s="7" customFormat="1" x14ac:dyDescent="0.25">
      <c r="A153" s="21"/>
    </row>
    <row r="154" spans="1:1" s="7" customFormat="1" x14ac:dyDescent="0.25">
      <c r="A154" s="21"/>
    </row>
    <row r="155" spans="1:1" s="7" customFormat="1" x14ac:dyDescent="0.25">
      <c r="A155" s="21"/>
    </row>
    <row r="156" spans="1:1" s="7" customFormat="1" x14ac:dyDescent="0.25">
      <c r="A156" s="21"/>
    </row>
    <row r="157" spans="1:1" s="7" customFormat="1" x14ac:dyDescent="0.25">
      <c r="A157" s="21"/>
    </row>
    <row r="158" spans="1:1" s="7" customFormat="1" x14ac:dyDescent="0.25">
      <c r="A158" s="21"/>
    </row>
    <row r="159" spans="1:1" s="7" customFormat="1" x14ac:dyDescent="0.25">
      <c r="A159" s="21"/>
    </row>
    <row r="160" spans="1:1" s="7" customFormat="1" x14ac:dyDescent="0.25">
      <c r="A160" s="21"/>
    </row>
    <row r="161" spans="1:1" s="7" customFormat="1" x14ac:dyDescent="0.25">
      <c r="A161" s="21"/>
    </row>
    <row r="162" spans="1:1" s="7" customFormat="1" x14ac:dyDescent="0.25">
      <c r="A162" s="21"/>
    </row>
    <row r="163" spans="1:1" s="7" customFormat="1" x14ac:dyDescent="0.25">
      <c r="A163" s="21"/>
    </row>
    <row r="164" spans="1:1" s="7" customFormat="1" x14ac:dyDescent="0.25">
      <c r="A164" s="21"/>
    </row>
    <row r="165" spans="1:1" s="7" customFormat="1" x14ac:dyDescent="0.25">
      <c r="A165" s="21"/>
    </row>
    <row r="166" spans="1:1" s="7" customFormat="1" x14ac:dyDescent="0.25">
      <c r="A166" s="21"/>
    </row>
    <row r="167" spans="1:1" s="7" customFormat="1" x14ac:dyDescent="0.25">
      <c r="A167" s="21"/>
    </row>
    <row r="168" spans="1:1" s="7" customFormat="1" x14ac:dyDescent="0.25">
      <c r="A168" s="21"/>
    </row>
    <row r="169" spans="1:1" s="7" customFormat="1" x14ac:dyDescent="0.25">
      <c r="A169" s="21"/>
    </row>
    <row r="170" spans="1:1" s="7" customFormat="1" x14ac:dyDescent="0.25">
      <c r="A170" s="21"/>
    </row>
    <row r="171" spans="1:1" s="7" customFormat="1" x14ac:dyDescent="0.25">
      <c r="A171" s="21"/>
    </row>
    <row r="172" spans="1:1" s="7" customFormat="1" x14ac:dyDescent="0.25">
      <c r="A172" s="21"/>
    </row>
    <row r="173" spans="1:1" s="7" customFormat="1" x14ac:dyDescent="0.25">
      <c r="A173" s="21"/>
    </row>
    <row r="174" spans="1:1" s="7" customFormat="1" x14ac:dyDescent="0.25">
      <c r="A174" s="21"/>
    </row>
    <row r="175" spans="1:1" s="7" customFormat="1" x14ac:dyDescent="0.25">
      <c r="A175" s="21"/>
    </row>
    <row r="176" spans="1:1" s="7" customFormat="1" x14ac:dyDescent="0.25">
      <c r="A176" s="21"/>
    </row>
    <row r="177" spans="1:1" s="7" customFormat="1" x14ac:dyDescent="0.25">
      <c r="A177" s="21"/>
    </row>
    <row r="178" spans="1:1" s="7" customFormat="1" x14ac:dyDescent="0.25">
      <c r="A178" s="21"/>
    </row>
    <row r="179" spans="1:1" s="7" customFormat="1" x14ac:dyDescent="0.25">
      <c r="A179" s="21"/>
    </row>
    <row r="180" spans="1:1" s="7" customFormat="1" x14ac:dyDescent="0.25">
      <c r="A180" s="21"/>
    </row>
    <row r="181" spans="1:1" s="7" customFormat="1" x14ac:dyDescent="0.25">
      <c r="A181" s="21"/>
    </row>
    <row r="182" spans="1:1" s="7" customFormat="1" x14ac:dyDescent="0.25">
      <c r="A182" s="21"/>
    </row>
    <row r="183" spans="1:1" s="7" customFormat="1" x14ac:dyDescent="0.25">
      <c r="A183" s="21"/>
    </row>
    <row r="184" spans="1:1" s="7" customFormat="1" x14ac:dyDescent="0.25">
      <c r="A184" s="21"/>
    </row>
    <row r="185" spans="1:1" s="7" customFormat="1" x14ac:dyDescent="0.25">
      <c r="A185" s="21"/>
    </row>
    <row r="186" spans="1:1" s="7" customFormat="1" x14ac:dyDescent="0.25">
      <c r="A186" s="21"/>
    </row>
    <row r="187" spans="1:1" s="7" customFormat="1" x14ac:dyDescent="0.25">
      <c r="A187" s="21"/>
    </row>
    <row r="188" spans="1:1" s="7" customFormat="1" x14ac:dyDescent="0.25">
      <c r="A188" s="21"/>
    </row>
    <row r="189" spans="1:1" s="7" customFormat="1" x14ac:dyDescent="0.25">
      <c r="A189" s="21"/>
    </row>
    <row r="190" spans="1:1" s="7" customFormat="1" x14ac:dyDescent="0.25">
      <c r="A190" s="21"/>
    </row>
    <row r="191" spans="1:1" s="7" customFormat="1" x14ac:dyDescent="0.25">
      <c r="A191" s="21"/>
    </row>
    <row r="192" spans="1:1" s="7" customFormat="1" x14ac:dyDescent="0.25">
      <c r="A192" s="21"/>
    </row>
    <row r="193" spans="1:1" s="7" customFormat="1" x14ac:dyDescent="0.25">
      <c r="A193" s="21"/>
    </row>
    <row r="194" spans="1:1" s="7" customFormat="1" x14ac:dyDescent="0.25">
      <c r="A194" s="21"/>
    </row>
    <row r="195" spans="1:1" s="7" customFormat="1" x14ac:dyDescent="0.25">
      <c r="A195" s="21"/>
    </row>
    <row r="196" spans="1:1" s="7" customFormat="1" x14ac:dyDescent="0.25">
      <c r="A196" s="21"/>
    </row>
    <row r="197" spans="1:1" s="7" customFormat="1" x14ac:dyDescent="0.25">
      <c r="A197" s="21"/>
    </row>
    <row r="198" spans="1:1" s="7" customFormat="1" x14ac:dyDescent="0.25">
      <c r="A198" s="21"/>
    </row>
    <row r="199" spans="1:1" s="7" customFormat="1" x14ac:dyDescent="0.25">
      <c r="A199" s="21"/>
    </row>
    <row r="200" spans="1:1" s="7" customFormat="1" x14ac:dyDescent="0.25">
      <c r="A200" s="21"/>
    </row>
    <row r="201" spans="1:1" s="7" customFormat="1" x14ac:dyDescent="0.25">
      <c r="A201" s="21"/>
    </row>
    <row r="202" spans="1:1" s="7" customFormat="1" x14ac:dyDescent="0.25">
      <c r="A202" s="21"/>
    </row>
    <row r="203" spans="1:1" s="7" customFormat="1" x14ac:dyDescent="0.25">
      <c r="A203" s="21"/>
    </row>
    <row r="204" spans="1:1" s="7" customFormat="1" x14ac:dyDescent="0.25">
      <c r="A204" s="21"/>
    </row>
    <row r="205" spans="1:1" s="7" customFormat="1" x14ac:dyDescent="0.25">
      <c r="A205" s="21"/>
    </row>
    <row r="206" spans="1:1" s="7" customFormat="1" x14ac:dyDescent="0.25">
      <c r="A206" s="21"/>
    </row>
    <row r="207" spans="1:1" s="7" customFormat="1" x14ac:dyDescent="0.25">
      <c r="A207" s="21"/>
    </row>
    <row r="208" spans="1:1" s="7" customFormat="1" x14ac:dyDescent="0.25">
      <c r="A208" s="21"/>
    </row>
    <row r="209" spans="1:1" s="7" customFormat="1" x14ac:dyDescent="0.25">
      <c r="A209" s="21"/>
    </row>
    <row r="210" spans="1:1" s="7" customFormat="1" x14ac:dyDescent="0.25">
      <c r="A210" s="21"/>
    </row>
    <row r="211" spans="1:1" s="7" customFormat="1" x14ac:dyDescent="0.25">
      <c r="A211" s="21"/>
    </row>
    <row r="212" spans="1:1" s="7" customFormat="1" x14ac:dyDescent="0.25">
      <c r="A212" s="21"/>
    </row>
    <row r="213" spans="1:1" s="7" customFormat="1" x14ac:dyDescent="0.25">
      <c r="A213" s="21"/>
    </row>
    <row r="214" spans="1:1" s="7" customFormat="1" x14ac:dyDescent="0.25">
      <c r="A214" s="21"/>
    </row>
    <row r="215" spans="1:1" s="7" customFormat="1" x14ac:dyDescent="0.25">
      <c r="A215" s="21"/>
    </row>
    <row r="216" spans="1:1" s="7" customFormat="1" x14ac:dyDescent="0.25">
      <c r="A216" s="21"/>
    </row>
    <row r="217" spans="1:1" s="7" customFormat="1" x14ac:dyDescent="0.25">
      <c r="A217" s="21"/>
    </row>
    <row r="218" spans="1:1" s="7" customFormat="1" x14ac:dyDescent="0.25">
      <c r="A218" s="21"/>
    </row>
    <row r="219" spans="1:1" s="7" customFormat="1" x14ac:dyDescent="0.25">
      <c r="A219" s="21"/>
    </row>
    <row r="220" spans="1:1" s="7" customFormat="1" x14ac:dyDescent="0.25">
      <c r="A220" s="21"/>
    </row>
    <row r="221" spans="1:1" s="7" customFormat="1" x14ac:dyDescent="0.25">
      <c r="A221" s="21"/>
    </row>
    <row r="222" spans="1:1" s="7" customFormat="1" x14ac:dyDescent="0.25">
      <c r="A222" s="21"/>
    </row>
    <row r="223" spans="1:1" s="7" customFormat="1" x14ac:dyDescent="0.25">
      <c r="A223" s="21"/>
    </row>
    <row r="224" spans="1:1" s="7" customFormat="1" x14ac:dyDescent="0.25">
      <c r="A224" s="21"/>
    </row>
    <row r="225" spans="1:1" s="7" customFormat="1" x14ac:dyDescent="0.25">
      <c r="A225" s="21"/>
    </row>
    <row r="226" spans="1:1" s="7" customFormat="1" x14ac:dyDescent="0.25">
      <c r="A226" s="21"/>
    </row>
    <row r="227" spans="1:1" s="7" customFormat="1" x14ac:dyDescent="0.25">
      <c r="A227" s="21"/>
    </row>
    <row r="228" spans="1:1" s="7" customFormat="1" x14ac:dyDescent="0.25">
      <c r="A228" s="21"/>
    </row>
    <row r="229" spans="1:1" s="7" customFormat="1" x14ac:dyDescent="0.25">
      <c r="A229" s="21"/>
    </row>
    <row r="230" spans="1:1" s="7" customFormat="1" x14ac:dyDescent="0.25">
      <c r="A230" s="21"/>
    </row>
    <row r="231" spans="1:1" s="7" customFormat="1" x14ac:dyDescent="0.25">
      <c r="A231" s="21"/>
    </row>
    <row r="232" spans="1:1" s="7" customFormat="1" x14ac:dyDescent="0.25">
      <c r="A232" s="21"/>
    </row>
    <row r="233" spans="1:1" s="7" customFormat="1" x14ac:dyDescent="0.25">
      <c r="A233" s="21"/>
    </row>
    <row r="234" spans="1:1" s="7" customFormat="1" x14ac:dyDescent="0.25">
      <c r="A234" s="21"/>
    </row>
    <row r="235" spans="1:1" s="7" customFormat="1" x14ac:dyDescent="0.25">
      <c r="A235" s="21"/>
    </row>
    <row r="236" spans="1:1" s="7" customFormat="1" x14ac:dyDescent="0.25">
      <c r="A236" s="21"/>
    </row>
    <row r="237" spans="1:1" s="7" customFormat="1" x14ac:dyDescent="0.25">
      <c r="A237" s="21"/>
    </row>
    <row r="238" spans="1:1" s="7" customFormat="1" x14ac:dyDescent="0.25">
      <c r="A238" s="21"/>
    </row>
    <row r="239" spans="1:1" s="7" customFormat="1" x14ac:dyDescent="0.25">
      <c r="A239" s="21"/>
    </row>
    <row r="240" spans="1:1" s="7" customFormat="1" x14ac:dyDescent="0.25">
      <c r="A240" s="21"/>
    </row>
    <row r="241" spans="1:1" s="7" customFormat="1" x14ac:dyDescent="0.25">
      <c r="A241" s="21"/>
    </row>
    <row r="242" spans="1:1" s="7" customFormat="1" x14ac:dyDescent="0.25">
      <c r="A242" s="21"/>
    </row>
    <row r="243" spans="1:1" s="7" customFormat="1" x14ac:dyDescent="0.25">
      <c r="A243" s="21"/>
    </row>
    <row r="244" spans="1:1" s="7" customFormat="1" x14ac:dyDescent="0.25">
      <c r="A244" s="21"/>
    </row>
    <row r="245" spans="1:1" s="7" customFormat="1" x14ac:dyDescent="0.25">
      <c r="A245" s="21"/>
    </row>
    <row r="246" spans="1:1" s="7" customFormat="1" x14ac:dyDescent="0.25">
      <c r="A246" s="21"/>
    </row>
    <row r="247" spans="1:1" s="7" customFormat="1" x14ac:dyDescent="0.25">
      <c r="A247" s="21"/>
    </row>
    <row r="248" spans="1:1" s="7" customFormat="1" x14ac:dyDescent="0.25">
      <c r="A248" s="21"/>
    </row>
    <row r="249" spans="1:1" s="7" customFormat="1" x14ac:dyDescent="0.25">
      <c r="A249" s="21"/>
    </row>
    <row r="250" spans="1:1" s="7" customFormat="1" x14ac:dyDescent="0.25">
      <c r="A250" s="21"/>
    </row>
    <row r="251" spans="1:1" s="7" customFormat="1" x14ac:dyDescent="0.25">
      <c r="A251" s="21"/>
    </row>
    <row r="252" spans="1:1" s="7" customFormat="1" x14ac:dyDescent="0.25">
      <c r="A252" s="21"/>
    </row>
    <row r="253" spans="1:1" s="7" customFormat="1" x14ac:dyDescent="0.25">
      <c r="A253" s="21"/>
    </row>
    <row r="254" spans="1:1" s="7" customFormat="1" x14ac:dyDescent="0.25">
      <c r="A254" s="21"/>
    </row>
    <row r="255" spans="1:1" s="7" customFormat="1" x14ac:dyDescent="0.25">
      <c r="A255" s="21"/>
    </row>
    <row r="256" spans="1:1" s="7" customFormat="1" x14ac:dyDescent="0.25">
      <c r="A256" s="21"/>
    </row>
    <row r="257" spans="1:1" s="7" customFormat="1" x14ac:dyDescent="0.25">
      <c r="A257" s="21"/>
    </row>
    <row r="258" spans="1:1" s="7" customFormat="1" x14ac:dyDescent="0.25">
      <c r="A258" s="21"/>
    </row>
    <row r="259" spans="1:1" s="7" customFormat="1" x14ac:dyDescent="0.25">
      <c r="A259" s="21"/>
    </row>
    <row r="260" spans="1:1" s="7" customFormat="1" x14ac:dyDescent="0.25">
      <c r="A260" s="21"/>
    </row>
    <row r="261" spans="1:1" s="7" customFormat="1" x14ac:dyDescent="0.25">
      <c r="A261" s="21"/>
    </row>
    <row r="262" spans="1:1" s="7" customFormat="1" x14ac:dyDescent="0.25">
      <c r="A262" s="21"/>
    </row>
    <row r="263" spans="1:1" s="7" customFormat="1" x14ac:dyDescent="0.25">
      <c r="A263" s="21"/>
    </row>
    <row r="264" spans="1:1" s="7" customFormat="1" x14ac:dyDescent="0.25">
      <c r="A264" s="21"/>
    </row>
    <row r="265" spans="1:1" s="7" customFormat="1" x14ac:dyDescent="0.25">
      <c r="A265" s="21"/>
    </row>
    <row r="266" spans="1:1" s="7" customFormat="1" x14ac:dyDescent="0.25">
      <c r="A266" s="21"/>
    </row>
    <row r="267" spans="1:1" s="7" customFormat="1" x14ac:dyDescent="0.25">
      <c r="A267" s="21"/>
    </row>
    <row r="268" spans="1:1" s="7" customFormat="1" x14ac:dyDescent="0.25">
      <c r="A268" s="21"/>
    </row>
    <row r="269" spans="1:1" s="7" customFormat="1" x14ac:dyDescent="0.25">
      <c r="A269" s="21"/>
    </row>
    <row r="270" spans="1:1" s="7" customFormat="1" x14ac:dyDescent="0.25">
      <c r="A270" s="21"/>
    </row>
    <row r="271" spans="1:1" s="7" customFormat="1" x14ac:dyDescent="0.25">
      <c r="A271" s="21"/>
    </row>
    <row r="272" spans="1:1" s="7" customFormat="1" x14ac:dyDescent="0.25">
      <c r="A272" s="21"/>
    </row>
    <row r="273" spans="1:1" s="7" customFormat="1" x14ac:dyDescent="0.25">
      <c r="A273" s="21"/>
    </row>
    <row r="274" spans="1:1" s="7" customFormat="1" x14ac:dyDescent="0.25">
      <c r="A274" s="21"/>
    </row>
    <row r="275" spans="1:1" s="7" customFormat="1" x14ac:dyDescent="0.25">
      <c r="A275" s="21"/>
    </row>
    <row r="276" spans="1:1" s="7" customFormat="1" x14ac:dyDescent="0.25">
      <c r="A276" s="21"/>
    </row>
    <row r="277" spans="1:1" s="7" customFormat="1" x14ac:dyDescent="0.25">
      <c r="A277" s="21"/>
    </row>
    <row r="278" spans="1:1" s="7" customFormat="1" x14ac:dyDescent="0.25">
      <c r="A278" s="21"/>
    </row>
    <row r="279" spans="1:1" s="7" customFormat="1" x14ac:dyDescent="0.25">
      <c r="A279" s="21"/>
    </row>
    <row r="280" spans="1:1" s="7" customFormat="1" x14ac:dyDescent="0.25">
      <c r="A280" s="21"/>
    </row>
    <row r="281" spans="1:1" s="7" customFormat="1" x14ac:dyDescent="0.25">
      <c r="A281" s="21"/>
    </row>
    <row r="282" spans="1:1" s="7" customFormat="1" x14ac:dyDescent="0.25">
      <c r="A282" s="21"/>
    </row>
    <row r="283" spans="1:1" s="7" customFormat="1" x14ac:dyDescent="0.25">
      <c r="A283" s="21"/>
    </row>
    <row r="284" spans="1:1" s="7" customFormat="1" x14ac:dyDescent="0.25">
      <c r="A284" s="21"/>
    </row>
    <row r="285" spans="1:1" s="7" customFormat="1" x14ac:dyDescent="0.25">
      <c r="A285" s="21"/>
    </row>
    <row r="286" spans="1:1" s="7" customFormat="1" x14ac:dyDescent="0.25">
      <c r="A286" s="21"/>
    </row>
    <row r="287" spans="1:1" s="7" customFormat="1" x14ac:dyDescent="0.25">
      <c r="A287" s="21"/>
    </row>
    <row r="288" spans="1:1" s="7" customFormat="1" x14ac:dyDescent="0.25">
      <c r="A288" s="21"/>
    </row>
    <row r="289" spans="1:1" s="7" customFormat="1" x14ac:dyDescent="0.25">
      <c r="A289" s="21"/>
    </row>
    <row r="290" spans="1:1" s="7" customFormat="1" x14ac:dyDescent="0.25">
      <c r="A290" s="21"/>
    </row>
    <row r="291" spans="1:1" s="7" customFormat="1" x14ac:dyDescent="0.25">
      <c r="A291" s="21"/>
    </row>
    <row r="292" spans="1:1" s="7" customFormat="1" x14ac:dyDescent="0.25">
      <c r="A292" s="21"/>
    </row>
    <row r="293" spans="1:1" s="7" customFormat="1" x14ac:dyDescent="0.25">
      <c r="A293" s="21"/>
    </row>
    <row r="294" spans="1:1" s="7" customFormat="1" x14ac:dyDescent="0.25">
      <c r="A294" s="21"/>
    </row>
    <row r="295" spans="1:1" s="7" customFormat="1" x14ac:dyDescent="0.25">
      <c r="A295" s="21"/>
    </row>
    <row r="296" spans="1:1" s="7" customFormat="1" x14ac:dyDescent="0.25">
      <c r="A296" s="21"/>
    </row>
    <row r="297" spans="1:1" s="7" customFormat="1" x14ac:dyDescent="0.25">
      <c r="A297" s="21"/>
    </row>
    <row r="298" spans="1:1" s="7" customFormat="1" x14ac:dyDescent="0.25">
      <c r="A298" s="21"/>
    </row>
    <row r="299" spans="1:1" s="7" customFormat="1" x14ac:dyDescent="0.25">
      <c r="A299" s="21"/>
    </row>
    <row r="300" spans="1:1" s="7" customFormat="1" x14ac:dyDescent="0.25">
      <c r="A300" s="21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Luan Santos</cp:lastModifiedBy>
  <dcterms:created xsi:type="dcterms:W3CDTF">2024-12-19T13:13:10Z</dcterms:created>
  <dcterms:modified xsi:type="dcterms:W3CDTF">2026-01-16T01:44:47Z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